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liance Tracker" sheetId="1" r:id="rId1"/>
    <sheet name="Trademarks" sheetId="2" r:id="rId2"/>
    <sheet name="Costs" sheetId="3" r:id="rId3"/>
    <sheet name="Company Forecast" sheetId="4" r:id="rId4"/>
    <sheet name="Quotes" sheetId="5" r:id="rId5"/>
    <sheet name="Invoices" sheetId="6" r:id="rId6"/>
    <sheet name="Payments" sheetId="7" r:id="rId7"/>
    <sheet name="Tax" sheetId="8" r:id="rId8"/>
    <sheet name="Suppliers" sheetId="9" r:id="rId9"/>
    <sheet name="Customers" sheetId="10" r:id="rId10"/>
    <sheet name="Money In" sheetId="11" r:id="rId11"/>
    <sheet name="Money Out" sheetId="12" r:id="rId12"/>
    <sheet name="Payroll &amp; Pension" sheetId="13" r:id="rId13"/>
  </sheets>
  <definedNames>
    <definedName name="_xlnm._FilterDatabase" localSheetId="3" hidden="1">'Company Forecast'!$A$1:$F$1</definedName>
    <definedName name="_xlnm._FilterDatabase" localSheetId="0" hidden="1">'Compliance Tracker'!$A$1:$J$1</definedName>
    <definedName name="_xlnm._FilterDatabase" localSheetId="2" hidden="1">Costs!$A$1:$D$1</definedName>
    <definedName name="_xlnm._FilterDatabase" localSheetId="9" hidden="1">Customers!$A$1:$G$1</definedName>
    <definedName name="_xlnm._FilterDatabase" localSheetId="5" hidden="1">Invoices!$A$1:$K$1</definedName>
    <definedName name="_xlnm._FilterDatabase" localSheetId="10" hidden="1">'Money In'!$A$1:$H$1</definedName>
    <definedName name="_xlnm._FilterDatabase" localSheetId="11" hidden="1">'Money Out'!$A$1:$H$1</definedName>
    <definedName name="_xlnm._FilterDatabase" localSheetId="6" hidden="1">Payments!$A$1:$J$1</definedName>
    <definedName name="_xlnm._FilterDatabase" localSheetId="12" hidden="1">'Payroll &amp; Pension'!$A$1:$J$1</definedName>
    <definedName name="_xlnm._FilterDatabase" localSheetId="4" hidden="1">Quotes!$A$1:$J$1</definedName>
    <definedName name="_xlnm._FilterDatabase" localSheetId="8" hidden="1">Suppliers!$A$1:$G$1</definedName>
    <definedName name="_xlnm._FilterDatabase" localSheetId="7" hidden="1">Tax!$A$1:$J$1</definedName>
    <definedName name="_xlnm._FilterDatabase" localSheetId="1" hidden="1">Trademarks!$A$1:$J$1</definedName>
  </definedNames>
  <calcPr calcId="124519" fullCalcOnLoad="1"/>
</workbook>
</file>

<file path=xl/sharedStrings.xml><?xml version="1.0" encoding="utf-8"?>
<sst xmlns="http://schemas.openxmlformats.org/spreadsheetml/2006/main" count="519" uniqueCount="286">
  <si>
    <t>Priority</t>
  </si>
  <si>
    <t>Item</t>
  </si>
  <si>
    <t>Category</t>
  </si>
  <si>
    <t>Status</t>
  </si>
  <si>
    <t>One-off £</t>
  </si>
  <si>
    <t>Recurring £/yr</t>
  </si>
  <si>
    <t>Due date</t>
  </si>
  <si>
    <t>Owner</t>
  </si>
  <si>
    <t>Evidence / ref</t>
  </si>
  <si>
    <t>Next action</t>
  </si>
  <si>
    <t>P0</t>
  </si>
  <si>
    <t>ICO data protection fee paid</t>
  </si>
  <si>
    <t>Data</t>
  </si>
  <si>
    <t>IN PROGRESS</t>
  </si>
  <si>
    <t>immediate</t>
  </si>
  <si>
    <t>Darren</t>
  </si>
  <si>
    <t>C2015509 ZA</t>
  </si>
  <si>
    <t>Confirm fee PAID</t>
  </si>
  <si>
    <t>UK trademark: ZEUS</t>
  </si>
  <si>
    <t>IP</t>
  </si>
  <si>
    <t>NOT STARTED</t>
  </si>
  <si>
    <t>1 week</t>
  </si>
  <si>
    <t>IPO TM№ pending</t>
  </si>
  <si>
    <t>File e-TM3 (5 cls)</t>
  </si>
  <si>
    <t>UK trademark: ZEUSTA</t>
  </si>
  <si>
    <t>UK trademark series ZEUS/ZEUS AI/ZEUSAI</t>
  </si>
  <si>
    <t>File series e-TM3</t>
  </si>
  <si>
    <t>UK trademark: AEGIS</t>
  </si>
  <si>
    <t>DTAC submission (NHS England)</t>
  </si>
  <si>
    <t>NHS</t>
  </si>
  <si>
    <t>pre-Monday</t>
  </si>
  <si>
    <t>Answers drafted</t>
  </si>
  <si>
    <t>Submit 2026 form</t>
  </si>
  <si>
    <t>Cyber Essentials</t>
  </si>
  <si>
    <t>Security</t>
  </si>
  <si>
    <t>4 weeks</t>
  </si>
  <si>
    <t>IASME</t>
  </si>
  <si>
    <t>Book assessment</t>
  </si>
  <si>
    <t>P1</t>
  </si>
  <si>
    <t>Confirmation statement</t>
  </si>
  <si>
    <t>Company</t>
  </si>
  <si>
    <t>ANNUAL</t>
  </si>
  <si>
    <t>anniversary</t>
  </si>
  <si>
    <t>Companies House</t>
  </si>
  <si>
    <t>File online £50</t>
  </si>
  <si>
    <t>Annual accounts</t>
  </si>
  <si>
    <t>9m after YE</t>
  </si>
  <si>
    <t>Accountant</t>
  </si>
  <si>
    <t>Digital filing</t>
  </si>
  <si>
    <t>DSPT re-assessment</t>
  </si>
  <si>
    <t>annual</t>
  </si>
  <si>
    <t>DSPT toolkit</t>
  </si>
  <si>
    <t>Maintain evidence</t>
  </si>
  <si>
    <t>DPIA sign-off</t>
  </si>
  <si>
    <t>pre-deploy</t>
  </si>
  <si>
    <t>Compliance pack</t>
  </si>
  <si>
    <t>Approve before deploy</t>
  </si>
  <si>
    <t>Cyber / PI insurance</t>
  </si>
  <si>
    <t>Insurance</t>
  </si>
  <si>
    <t>pre-contract</t>
  </si>
  <si>
    <t>Get quotes</t>
  </si>
  <si>
    <t>NHS proof of cover</t>
  </si>
  <si>
    <t>P2</t>
  </si>
  <si>
    <t>Cyber Essentials Plus</t>
  </si>
  <si>
    <t>post CE</t>
  </si>
  <si>
    <t>After CE</t>
  </si>
  <si>
    <t>DIATF / OfDIA certification</t>
  </si>
  <si>
    <t>Identity</t>
  </si>
  <si>
    <t>quote</t>
  </si>
  <si>
    <t>CAB quote</t>
  </si>
  <si>
    <t>Request quotation</t>
  </si>
  <si>
    <t>ISO 27001</t>
  </si>
  <si>
    <t>after contract</t>
  </si>
  <si>
    <t>UKAS body</t>
  </si>
  <si>
    <t>Fund from revenue</t>
  </si>
  <si>
    <t>VAT registration</t>
  </si>
  <si>
    <t>Tax</t>
  </si>
  <si>
    <t>NOT YET</t>
  </si>
  <si>
    <t>at £90k</t>
  </si>
  <si>
    <t>HMRC</t>
  </si>
  <si>
    <t>Below threshold</t>
  </si>
  <si>
    <t>Mark</t>
  </si>
  <si>
    <t>Type</t>
  </si>
  <si>
    <t>Classes</t>
  </si>
  <si>
    <t>Application № (IPO)</t>
  </si>
  <si>
    <t>Filing date</t>
  </si>
  <si>
    <t>Fee £</t>
  </si>
  <si>
    <t>Payment ref</t>
  </si>
  <si>
    <t>Renewal due (yr 10)</t>
  </si>
  <si>
    <t>Notes</t>
  </si>
  <si>
    <t>ZEUS</t>
  </si>
  <si>
    <t>Word</t>
  </si>
  <si>
    <t>9, 36, 42, 44, 45</t>
  </si>
  <si>
    <t>AWAITING NUMBERS</t>
  </si>
  <si>
    <t>File e-TM3</t>
  </si>
  <si>
    <t>ZEUSTA</t>
  </si>
  <si>
    <t>Separate application</t>
  </si>
  <si>
    <t>ZEUS / ZEUS AI / ZEUSAI</t>
  </si>
  <si>
    <t>Series (3 marks)</t>
  </si>
  <si>
    <t>Series app</t>
  </si>
  <si>
    <t>AEGIS</t>
  </si>
  <si>
    <t>Consider per contract</t>
  </si>
  <si>
    <t>TOTAL</t>
  </si>
  <si>
    <t>ICO fee</t>
  </si>
  <si>
    <t>Tier 1 micro</t>
  </si>
  <si>
    <t>Trademarks (4 filings)</t>
  </si>
  <si>
    <t>ZEUS+ZEUSTA+series+AEGIS</t>
  </si>
  <si>
    <t>IASME from £300</t>
  </si>
  <si>
    <t>online</t>
  </si>
  <si>
    <t>DTAC</t>
  </si>
  <si>
    <t>free</t>
  </si>
  <si>
    <t>Cyber insurance</t>
  </si>
  <si>
    <t>quote; est SME</t>
  </si>
  <si>
    <t>Payroll / pension provider</t>
  </si>
  <si>
    <t>Xero/PayeZone or free; when staff</t>
  </si>
  <si>
    <t>ISO 27001 (later)</t>
  </si>
  <si>
    <t>UKAS yr1; contract-funded</t>
  </si>
  <si>
    <t>Trademark renewals</t>
  </si>
  <si>
    <t>per mark yr 10</t>
  </si>
  <si>
    <t>P0 IMMEDIATE TOTAL</t>
  </si>
  <si>
    <t>ICO+TM(4)+CE+CS; excl insurance</t>
  </si>
  <si>
    <t>Month</t>
  </si>
  <si>
    <t>Money IN (est £)</t>
  </si>
  <si>
    <t>Money OUT (est £)</t>
  </si>
  <si>
    <t>Net £</t>
  </si>
  <si>
    <t>Cumulative £</t>
  </si>
  <si>
    <t>Sep-26</t>
  </si>
  <si>
    <t>setup phase</t>
  </si>
  <si>
    <t>Oct-26</t>
  </si>
  <si>
    <t>Nov-26</t>
  </si>
  <si>
    <t>Dec-26</t>
  </si>
  <si>
    <t>AEGIS contract ramp (scenario)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</si>
  <si>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</si>
  <si>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</si>
  <si>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</si>
  <si>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</si>
  <si>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</si>
  <si>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</si>
  <si>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</si>
  <si>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</si>
  <si>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Quote №</t>
  </si>
  <si>
    <t>Customer</t>
  </si>
  <si>
    <t>Date</t>
  </si>
  <si>
    <t>Description</t>
  </si>
  <si>
    <t>Amount £</t>
  </si>
  <si>
    <t>VAT £</t>
  </si>
  <si>
    <t>Total £</t>
  </si>
  <si>
    <t>Sent</t>
  </si>
  <si>
    <t>Accepted</t>
  </si>
  <si>
    <t>Q-0001</t>
  </si>
  <si>
    <t>Draft</t>
  </si>
  <si>
    <t>Q-0002</t>
  </si>
  <si>
    <t>Q-0003</t>
  </si>
  <si>
    <t>Q-0004</t>
  </si>
  <si>
    <t>Q-0005</t>
  </si>
  <si>
    <t>Q-0006</t>
  </si>
  <si>
    <t>Q-0007</t>
  </si>
  <si>
    <t>Q-0008</t>
  </si>
  <si>
    <t>Q-0009</t>
  </si>
  <si>
    <t>Q-0010</t>
  </si>
  <si>
    <t>Invoice №</t>
  </si>
  <si>
    <t>Paid date</t>
  </si>
  <si>
    <t>INV-0001</t>
  </si>
  <si>
    <t>Unpaid</t>
  </si>
  <si>
    <t>INV-0002</t>
  </si>
  <si>
    <t>INV-0003</t>
  </si>
  <si>
    <t>INV-0004</t>
  </si>
  <si>
    <t>INV-0005</t>
  </si>
  <si>
    <t>INV-0006</t>
  </si>
  <si>
    <t>INV-0007</t>
  </si>
  <si>
    <t>INV-0008</t>
  </si>
  <si>
    <t>INV-0009</t>
  </si>
  <si>
    <t>INV-0010</t>
  </si>
  <si>
    <t>INV-0011</t>
  </si>
  <si>
    <t>INV-0012</t>
  </si>
  <si>
    <t>Payment №</t>
  </si>
  <si>
    <t>To/From</t>
  </si>
  <si>
    <t>Reference</t>
  </si>
  <si>
    <t>Method</t>
  </si>
  <si>
    <t>VAT on cost £</t>
  </si>
  <si>
    <t>Receipt file</t>
  </si>
  <si>
    <t>PAY-0001</t>
  </si>
  <si>
    <t>PAY-0002</t>
  </si>
  <si>
    <t>PAY-0003</t>
  </si>
  <si>
    <t>PAY-0004</t>
  </si>
  <si>
    <t>PAY-0005</t>
  </si>
  <si>
    <t>PAY-0006</t>
  </si>
  <si>
    <t>PAY-0007</t>
  </si>
  <si>
    <t>PAY-0008</t>
  </si>
  <si>
    <t>PAY-0009</t>
  </si>
  <si>
    <t>PAY-0010</t>
  </si>
  <si>
    <t>PAY-0011</t>
  </si>
  <si>
    <t>PAY-0012</t>
  </si>
  <si>
    <t>Tax period</t>
  </si>
  <si>
    <t>Type (VAT/CT/PAYE)</t>
  </si>
  <si>
    <t>Filed date</t>
  </si>
  <si>
    <t>Sales/output £</t>
  </si>
  <si>
    <t>Purchases/input £</t>
  </si>
  <si>
    <t>Amount due £</t>
  </si>
  <si>
    <t>Ref</t>
  </si>
  <si>
    <t>Q1</t>
  </si>
  <si>
    <t>Not due</t>
  </si>
  <si>
    <t>Q2</t>
  </si>
  <si>
    <t>Q3</t>
  </si>
  <si>
    <t>Q4</t>
  </si>
  <si>
    <t>Year-end CT</t>
  </si>
  <si>
    <t>Supplier</t>
  </si>
  <si>
    <t>Contact</t>
  </si>
  <si>
    <t>What they supply</t>
  </si>
  <si>
    <t>Invoice ref</t>
  </si>
  <si>
    <t>Payment terms</t>
  </si>
  <si>
    <t>Next order</t>
  </si>
  <si>
    <t>DigitalOcean</t>
  </si>
  <si>
    <t>billing@digitalocean.com</t>
  </si>
  <si>
    <t>AEGIS hosting</t>
  </si>
  <si>
    <t>monthly</t>
  </si>
  <si>
    <t>AWS</t>
  </si>
  <si>
    <t>aws@amazon.com</t>
  </si>
  <si>
    <t>S3 backups</t>
  </si>
  <si>
    <t>Cloudflare</t>
  </si>
  <si>
    <t>support@cloudflare.com</t>
  </si>
  <si>
    <t>DNS/tunnel</t>
  </si>
  <si>
    <t>Registrar</t>
  </si>
  <si>
    <t>domains</t>
  </si>
  <si>
    <t>renew before expiry</t>
  </si>
  <si>
    <t>Cyber Essentials cert</t>
  </si>
  <si>
    <t>book now</t>
  </si>
  <si>
    <t>Pension provider (future)</t>
  </si>
  <si>
    <t>NEST/The People's Pension</t>
  </si>
  <si>
    <t>auto-enrolment</t>
  </si>
  <si>
    <t>when staff hired</t>
  </si>
  <si>
    <t>Payroll provider (future)</t>
  </si>
  <si>
    <t>PayeZone/Xero</t>
  </si>
  <si>
    <t>PAYE/RTI filing</t>
  </si>
  <si>
    <t>UKAS body (future)</t>
  </si>
  <si>
    <t>post-contract</t>
  </si>
  <si>
    <t>Insurer (future)</t>
  </si>
  <si>
    <t>Cyber/PI</t>
  </si>
  <si>
    <t>get quotes</t>
  </si>
  <si>
    <t>Contract ref</t>
  </si>
  <si>
    <t>NHS England (Product &amp; Platforms)</t>
  </si>
  <si>
    <t>lauren.roberts3@nhs.net</t>
  </si>
  <si>
    <t>CALL 1 Oct 16:00</t>
  </si>
  <si>
    <t>Send deck + IP clause</t>
  </si>
  <si>
    <t>thread 1a043c35ca7bd141</t>
  </si>
  <si>
    <t>Certus Card Group</t>
  </si>
  <si>
    <t>talk@certuscardgroup.com</t>
  </si>
  <si>
    <t>Bureau</t>
  </si>
  <si>
    <t>RFI sent</t>
  </si>
  <si>
    <t>Await response</t>
  </si>
  <si>
    <t>1a04915860b3a595</t>
  </si>
  <si>
    <t>G+D UK</t>
  </si>
  <si>
    <t>mark.paddock@gi-de.com</t>
  </si>
  <si>
    <t>1a04917551880979</t>
  </si>
  <si>
    <t>Thales UK</t>
  </si>
  <si>
    <t>fcmo@uk.thalesgroup.com</t>
  </si>
  <si>
    <t>1a049164d596c4c4</t>
  </si>
  <si>
    <t>Entrust</t>
  </si>
  <si>
    <t>sales@entrust.com</t>
  </si>
  <si>
    <t>1a04916710805eaa</t>
  </si>
  <si>
    <t>JDB Sales retail</t>
  </si>
  <si>
    <t>jdbsale3@gmail.com</t>
  </si>
  <si>
    <t>Internal</t>
  </si>
  <si>
    <t>Active</t>
  </si>
  <si>
    <t>Stripe connected</t>
  </si>
  <si>
    <t>Source</t>
  </si>
  <si>
    <t>Stripe/Ref</t>
  </si>
  <si>
    <t>Invoice</t>
  </si>
  <si>
    <t>Banked</t>
  </si>
  <si>
    <t>Payee</t>
  </si>
  <si>
    <t>VAT reclaim £</t>
  </si>
  <si>
    <t>Receipt</t>
  </si>
  <si>
    <t>Employee</t>
  </si>
  <si>
    <t>Gross £</t>
  </si>
  <si>
    <t>PAYE/NI £</t>
  </si>
  <si>
    <t>Net pay £</t>
  </si>
  <si>
    <t>Pension EE £</t>
  </si>
  <si>
    <t>Pension ER £</t>
  </si>
  <si>
    <t>Pension total £</t>
  </si>
  <si>
    <t>RTI filed</t>
  </si>
  <si>
    <t>Darren Birch (Director)</t>
  </si>
  <si>
    <t>No</t>
  </si>
  <si>
    <t>Hire 1 (future)</t>
  </si>
  <si>
    <t>TOTALS</t>
  </si>
  <si>
    <t>NOTES</t>
  </si>
  <si>
    <t>Auto-enrolment: ER min 3% of qualifying earnings, EE 5%; register pension scheme + join RTI before hiring. Directors can be opted-in or excluded per HMRC rules.</t>
  </si>
</sst>
</file>

<file path=xl/styles.xml><?xml version="1.0" encoding="utf-8"?>
<styleSheet xmlns="http://schemas.openxmlformats.org/spreadsheetml/2006/main">
  <numFmts count="1">
    <numFmt numFmtId="164" formatCode="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FF4A235A"/>
        <bgColor indexed="64"/>
      </patternFill>
    </fill>
    <fill>
      <patternFill patternType="solid">
        <fgColor rgb="FF0F4C5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3" borderId="1" xfId="0" applyFill="1" applyBorder="1"/>
    <xf numFmtId="164" fontId="0" fillId="0" borderId="1" xfId="0" applyNumberFormat="1" applyBorder="1" applyAlignment="1">
      <alignment vertical="top"/>
    </xf>
    <xf numFmtId="0" fontId="0" fillId="4" borderId="1" xfId="0" applyFill="1" applyBorder="1"/>
    <xf numFmtId="0" fontId="0" fillId="5" borderId="1" xfId="0" applyFill="1" applyBorder="1"/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1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2.7109375" customWidth="1"/>
    <col min="4" max="4" width="13.7109375" customWidth="1"/>
    <col min="5" max="5" width="10.7109375" customWidth="1"/>
    <col min="6" max="6" width="13.7109375" customWidth="1"/>
    <col min="7" max="7" width="12.7109375" customWidth="1"/>
    <col min="8" max="8" width="10.7109375" customWidth="1"/>
    <col min="9" max="9" width="22.7109375" customWidth="1"/>
    <col min="10" max="10" width="42.7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3" t="s">
        <v>13</v>
      </c>
      <c r="E2" s="4">
        <v>0</v>
      </c>
      <c r="F2" s="4">
        <v>52</v>
      </c>
      <c r="G2" s="2" t="s">
        <v>14</v>
      </c>
      <c r="H2" s="2" t="s">
        <v>15</v>
      </c>
      <c r="I2" s="2" t="s">
        <v>16</v>
      </c>
      <c r="J2" s="2" t="s">
        <v>17</v>
      </c>
    </row>
    <row r="3" spans="1:10">
      <c r="A3" s="2" t="s">
        <v>10</v>
      </c>
      <c r="B3" s="2" t="s">
        <v>18</v>
      </c>
      <c r="C3" s="2" t="s">
        <v>19</v>
      </c>
      <c r="D3" s="5" t="s">
        <v>20</v>
      </c>
      <c r="E3" s="4">
        <v>445</v>
      </c>
      <c r="F3" s="4">
        <v>0</v>
      </c>
      <c r="G3" s="2" t="s">
        <v>21</v>
      </c>
      <c r="H3" s="2" t="s">
        <v>15</v>
      </c>
      <c r="I3" s="2" t="s">
        <v>22</v>
      </c>
      <c r="J3" s="2" t="s">
        <v>23</v>
      </c>
    </row>
    <row r="4" spans="1:10">
      <c r="A4" s="2" t="s">
        <v>10</v>
      </c>
      <c r="B4" s="2" t="s">
        <v>24</v>
      </c>
      <c r="C4" s="2" t="s">
        <v>19</v>
      </c>
      <c r="D4" s="5" t="s">
        <v>20</v>
      </c>
      <c r="E4" s="4">
        <v>445</v>
      </c>
      <c r="F4" s="4">
        <v>0</v>
      </c>
      <c r="G4" s="2" t="s">
        <v>21</v>
      </c>
      <c r="H4" s="2" t="s">
        <v>15</v>
      </c>
      <c r="I4" s="2" t="s">
        <v>22</v>
      </c>
      <c r="J4" s="2" t="s">
        <v>23</v>
      </c>
    </row>
    <row r="5" spans="1:10">
      <c r="A5" s="2" t="s">
        <v>10</v>
      </c>
      <c r="B5" s="2" t="s">
        <v>25</v>
      </c>
      <c r="C5" s="2" t="s">
        <v>19</v>
      </c>
      <c r="D5" s="5" t="s">
        <v>20</v>
      </c>
      <c r="E5" s="4">
        <v>505</v>
      </c>
      <c r="F5" s="4">
        <v>0</v>
      </c>
      <c r="G5" s="2" t="s">
        <v>21</v>
      </c>
      <c r="H5" s="2" t="s">
        <v>15</v>
      </c>
      <c r="I5" s="2" t="s">
        <v>22</v>
      </c>
      <c r="J5" s="2" t="s">
        <v>26</v>
      </c>
    </row>
    <row r="6" spans="1:10">
      <c r="A6" s="2" t="s">
        <v>10</v>
      </c>
      <c r="B6" s="2" t="s">
        <v>27</v>
      </c>
      <c r="C6" s="2" t="s">
        <v>19</v>
      </c>
      <c r="D6" s="5" t="s">
        <v>20</v>
      </c>
      <c r="E6" s="4">
        <v>445</v>
      </c>
      <c r="F6" s="4">
        <v>0</v>
      </c>
      <c r="G6" s="2" t="s">
        <v>21</v>
      </c>
      <c r="H6" s="2" t="s">
        <v>15</v>
      </c>
      <c r="I6" s="2" t="s">
        <v>22</v>
      </c>
      <c r="J6" s="2" t="s">
        <v>23</v>
      </c>
    </row>
    <row r="7" spans="1:10">
      <c r="A7" s="2" t="s">
        <v>10</v>
      </c>
      <c r="B7" s="2" t="s">
        <v>28</v>
      </c>
      <c r="C7" s="2" t="s">
        <v>29</v>
      </c>
      <c r="D7" s="5" t="s">
        <v>20</v>
      </c>
      <c r="E7" s="4">
        <v>0</v>
      </c>
      <c r="F7" s="4">
        <v>0</v>
      </c>
      <c r="G7" s="2" t="s">
        <v>30</v>
      </c>
      <c r="H7" s="2" t="s">
        <v>15</v>
      </c>
      <c r="I7" s="2" t="s">
        <v>31</v>
      </c>
      <c r="J7" s="2" t="s">
        <v>32</v>
      </c>
    </row>
    <row r="8" spans="1:10">
      <c r="A8" s="2" t="s">
        <v>10</v>
      </c>
      <c r="B8" s="2" t="s">
        <v>33</v>
      </c>
      <c r="C8" s="2" t="s">
        <v>34</v>
      </c>
      <c r="D8" s="5" t="s">
        <v>20</v>
      </c>
      <c r="E8" s="4">
        <v>400</v>
      </c>
      <c r="F8" s="4">
        <v>0</v>
      </c>
      <c r="G8" s="2" t="s">
        <v>35</v>
      </c>
      <c r="H8" s="2" t="s">
        <v>15</v>
      </c>
      <c r="I8" s="2" t="s">
        <v>36</v>
      </c>
      <c r="J8" s="2" t="s">
        <v>37</v>
      </c>
    </row>
    <row r="9" spans="1:10">
      <c r="A9" s="2" t="s">
        <v>38</v>
      </c>
      <c r="B9" s="2" t="s">
        <v>39</v>
      </c>
      <c r="C9" s="2" t="s">
        <v>40</v>
      </c>
      <c r="D9" s="6" t="s">
        <v>41</v>
      </c>
      <c r="E9" s="4">
        <v>0</v>
      </c>
      <c r="F9" s="4">
        <v>50</v>
      </c>
      <c r="G9" s="2" t="s">
        <v>42</v>
      </c>
      <c r="H9" s="2" t="s">
        <v>15</v>
      </c>
      <c r="I9" s="2" t="s">
        <v>43</v>
      </c>
      <c r="J9" s="2" t="s">
        <v>44</v>
      </c>
    </row>
    <row r="10" spans="1:10">
      <c r="A10" s="2" t="s">
        <v>38</v>
      </c>
      <c r="B10" s="2" t="s">
        <v>45</v>
      </c>
      <c r="C10" s="2" t="s">
        <v>40</v>
      </c>
      <c r="D10" s="6" t="s">
        <v>41</v>
      </c>
      <c r="E10" s="4">
        <v>0</v>
      </c>
      <c r="F10" s="4">
        <v>0</v>
      </c>
      <c r="G10" s="2" t="s">
        <v>46</v>
      </c>
      <c r="H10" s="2" t="s">
        <v>47</v>
      </c>
      <c r="I10" s="2" t="s">
        <v>43</v>
      </c>
      <c r="J10" s="2" t="s">
        <v>48</v>
      </c>
    </row>
    <row r="11" spans="1:10">
      <c r="A11" s="2" t="s">
        <v>38</v>
      </c>
      <c r="B11" s="2" t="s">
        <v>49</v>
      </c>
      <c r="C11" s="2" t="s">
        <v>12</v>
      </c>
      <c r="D11" s="6" t="s">
        <v>41</v>
      </c>
      <c r="E11" s="4">
        <v>0</v>
      </c>
      <c r="F11" s="4">
        <v>0</v>
      </c>
      <c r="G11" s="2" t="s">
        <v>50</v>
      </c>
      <c r="H11" s="2" t="s">
        <v>15</v>
      </c>
      <c r="I11" s="2" t="s">
        <v>51</v>
      </c>
      <c r="J11" s="2" t="s">
        <v>52</v>
      </c>
    </row>
    <row r="12" spans="1:10">
      <c r="A12" s="2" t="s">
        <v>38</v>
      </c>
      <c r="B12" s="2" t="s">
        <v>53</v>
      </c>
      <c r="C12" s="2" t="s">
        <v>12</v>
      </c>
      <c r="D12" s="3" t="s">
        <v>13</v>
      </c>
      <c r="E12" s="4">
        <v>0</v>
      </c>
      <c r="F12" s="4">
        <v>0</v>
      </c>
      <c r="G12" s="2" t="s">
        <v>54</v>
      </c>
      <c r="H12" s="2" t="s">
        <v>15</v>
      </c>
      <c r="I12" s="2" t="s">
        <v>55</v>
      </c>
      <c r="J12" s="2" t="s">
        <v>56</v>
      </c>
    </row>
    <row r="13" spans="1:10">
      <c r="A13" s="2" t="s">
        <v>38</v>
      </c>
      <c r="B13" s="2" t="s">
        <v>57</v>
      </c>
      <c r="C13" s="2" t="s">
        <v>58</v>
      </c>
      <c r="D13" s="5" t="s">
        <v>20</v>
      </c>
      <c r="E13" s="4">
        <v>0</v>
      </c>
      <c r="F13" s="4">
        <v>0</v>
      </c>
      <c r="G13" s="2" t="s">
        <v>59</v>
      </c>
      <c r="H13" s="2" t="s">
        <v>15</v>
      </c>
      <c r="I13" s="2" t="s">
        <v>60</v>
      </c>
      <c r="J13" s="2" t="s">
        <v>61</v>
      </c>
    </row>
    <row r="14" spans="1:10">
      <c r="A14" s="2" t="s">
        <v>62</v>
      </c>
      <c r="B14" s="2" t="s">
        <v>63</v>
      </c>
      <c r="C14" s="2" t="s">
        <v>34</v>
      </c>
      <c r="D14" s="5" t="s">
        <v>20</v>
      </c>
      <c r="E14" s="4">
        <v>3000</v>
      </c>
      <c r="F14" s="4">
        <v>0</v>
      </c>
      <c r="G14" s="2" t="s">
        <v>64</v>
      </c>
      <c r="H14" s="2" t="s">
        <v>15</v>
      </c>
      <c r="I14" s="2" t="s">
        <v>36</v>
      </c>
      <c r="J14" s="2" t="s">
        <v>65</v>
      </c>
    </row>
    <row r="15" spans="1:10">
      <c r="A15" s="2" t="s">
        <v>62</v>
      </c>
      <c r="B15" s="2" t="s">
        <v>66</v>
      </c>
      <c r="C15" s="2" t="s">
        <v>67</v>
      </c>
      <c r="D15" s="5" t="s">
        <v>20</v>
      </c>
      <c r="E15" s="4">
        <v>0</v>
      </c>
      <c r="F15" s="4">
        <v>0</v>
      </c>
      <c r="G15" s="2" t="s">
        <v>68</v>
      </c>
      <c r="H15" s="2" t="s">
        <v>15</v>
      </c>
      <c r="I15" s="2" t="s">
        <v>69</v>
      </c>
      <c r="J15" s="2" t="s">
        <v>70</v>
      </c>
    </row>
    <row r="16" spans="1:10">
      <c r="A16" s="2" t="s">
        <v>62</v>
      </c>
      <c r="B16" s="2" t="s">
        <v>71</v>
      </c>
      <c r="C16" s="2" t="s">
        <v>34</v>
      </c>
      <c r="D16" s="5" t="s">
        <v>20</v>
      </c>
      <c r="E16" s="4">
        <v>10000</v>
      </c>
      <c r="F16" s="4">
        <v>5000</v>
      </c>
      <c r="G16" s="2" t="s">
        <v>72</v>
      </c>
      <c r="H16" s="2" t="s">
        <v>15</v>
      </c>
      <c r="I16" s="2" t="s">
        <v>73</v>
      </c>
      <c r="J16" s="2" t="s">
        <v>74</v>
      </c>
    </row>
    <row r="17" spans="1:10">
      <c r="A17" s="2" t="s">
        <v>62</v>
      </c>
      <c r="B17" s="2" t="s">
        <v>75</v>
      </c>
      <c r="C17" s="2" t="s">
        <v>76</v>
      </c>
      <c r="D17" s="2" t="s">
        <v>77</v>
      </c>
      <c r="E17" s="4">
        <v>0</v>
      </c>
      <c r="F17" s="4">
        <v>0</v>
      </c>
      <c r="G17" s="2" t="s">
        <v>78</v>
      </c>
      <c r="H17" s="2" t="s">
        <v>47</v>
      </c>
      <c r="I17" s="2" t="s">
        <v>79</v>
      </c>
      <c r="J17" s="2" t="s">
        <v>80</v>
      </c>
    </row>
  </sheetData>
  <autoFilter ref="A1:J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6.7109375" customWidth="1"/>
    <col min="3" max="4" width="20.7109375" customWidth="1"/>
    <col min="5" max="5" width="14.7109375" customWidth="1"/>
    <col min="6" max="6" width="20.7109375" customWidth="1"/>
    <col min="7" max="7" width="10.7109375" customWidth="1"/>
    <col min="8" max="8" width="16.7109375" customWidth="1"/>
    <col min="9" max="9" width="22.7109375" customWidth="1"/>
    <col min="10" max="10" width="42.7109375" customWidth="1"/>
  </cols>
  <sheetData>
    <row r="1" spans="1:10">
      <c r="A1" s="7" t="s">
        <v>81</v>
      </c>
      <c r="B1" s="7" t="s">
        <v>82</v>
      </c>
      <c r="C1" s="7" t="s">
        <v>83</v>
      </c>
      <c r="D1" s="7" t="s">
        <v>84</v>
      </c>
      <c r="E1" s="7" t="s">
        <v>85</v>
      </c>
      <c r="F1" s="7" t="s">
        <v>3</v>
      </c>
      <c r="G1" s="7" t="s">
        <v>86</v>
      </c>
      <c r="H1" s="7" t="s">
        <v>87</v>
      </c>
      <c r="I1" s="7" t="s">
        <v>88</v>
      </c>
      <c r="J1" s="7" t="s">
        <v>89</v>
      </c>
    </row>
    <row r="2" spans="1:10">
      <c r="A2" s="2" t="s">
        <v>90</v>
      </c>
      <c r="B2" s="2" t="s">
        <v>91</v>
      </c>
      <c r="C2" s="2" t="s">
        <v>92</v>
      </c>
      <c r="D2" s="2"/>
      <c r="E2" s="2"/>
      <c r="F2" s="5" t="s">
        <v>93</v>
      </c>
      <c r="G2" s="4">
        <v>445</v>
      </c>
      <c r="H2" s="2"/>
      <c r="I2" s="2"/>
      <c r="J2" s="2" t="s">
        <v>94</v>
      </c>
    </row>
    <row r="3" spans="1:10">
      <c r="A3" s="2" t="s">
        <v>95</v>
      </c>
      <c r="B3" s="2" t="s">
        <v>91</v>
      </c>
      <c r="C3" s="2" t="s">
        <v>92</v>
      </c>
      <c r="D3" s="2"/>
      <c r="E3" s="2"/>
      <c r="F3" s="5" t="s">
        <v>93</v>
      </c>
      <c r="G3" s="4">
        <v>445</v>
      </c>
      <c r="H3" s="2"/>
      <c r="I3" s="2"/>
      <c r="J3" s="2" t="s">
        <v>96</v>
      </c>
    </row>
    <row r="4" spans="1:10">
      <c r="A4" s="2" t="s">
        <v>97</v>
      </c>
      <c r="B4" s="2" t="s">
        <v>98</v>
      </c>
      <c r="C4" s="2" t="s">
        <v>92</v>
      </c>
      <c r="D4" s="2"/>
      <c r="E4" s="2"/>
      <c r="F4" s="5" t="s">
        <v>93</v>
      </c>
      <c r="G4" s="4">
        <v>505</v>
      </c>
      <c r="H4" s="2"/>
      <c r="I4" s="2"/>
      <c r="J4" s="2" t="s">
        <v>99</v>
      </c>
    </row>
    <row r="5" spans="1:10">
      <c r="A5" s="2" t="s">
        <v>100</v>
      </c>
      <c r="B5" s="2" t="s">
        <v>91</v>
      </c>
      <c r="C5" s="2" t="s">
        <v>92</v>
      </c>
      <c r="D5" s="2"/>
      <c r="E5" s="2"/>
      <c r="F5" s="5" t="s">
        <v>93</v>
      </c>
      <c r="G5" s="4">
        <v>445</v>
      </c>
      <c r="H5" s="2"/>
      <c r="I5" s="2"/>
      <c r="J5" s="2" t="s">
        <v>101</v>
      </c>
    </row>
    <row r="6" spans="1:10">
      <c r="A6" s="8" t="s">
        <v>102</v>
      </c>
      <c r="B6" s="8"/>
      <c r="C6" s="8"/>
      <c r="D6" s="8"/>
      <c r="E6" s="8"/>
      <c r="F6" s="8"/>
      <c r="G6" s="8">
        <v>1840</v>
      </c>
      <c r="H6" s="8"/>
      <c r="I6" s="8"/>
      <c r="J6" s="8"/>
    </row>
  </sheetData>
  <autoFilter ref="A1:J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2.7109375" customWidth="1"/>
    <col min="3" max="3" width="14.7109375" customWidth="1"/>
    <col min="4" max="4" width="58.7109375" customWidth="1"/>
  </cols>
  <sheetData>
    <row r="1" spans="1:4">
      <c r="A1" s="1" t="s">
        <v>2</v>
      </c>
      <c r="B1" s="1" t="s">
        <v>4</v>
      </c>
      <c r="C1" s="1" t="s">
        <v>5</v>
      </c>
      <c r="D1" s="1" t="s">
        <v>89</v>
      </c>
    </row>
    <row r="2" spans="1:4">
      <c r="A2" s="2" t="s">
        <v>103</v>
      </c>
      <c r="B2" s="4">
        <v>0</v>
      </c>
      <c r="C2" s="4">
        <v>52</v>
      </c>
      <c r="D2" s="2" t="s">
        <v>104</v>
      </c>
    </row>
    <row r="3" spans="1:4">
      <c r="A3" s="2" t="s">
        <v>105</v>
      </c>
      <c r="B3" s="4">
        <v>1840</v>
      </c>
      <c r="C3" s="4">
        <v>0</v>
      </c>
      <c r="D3" s="2" t="s">
        <v>106</v>
      </c>
    </row>
    <row r="4" spans="1:4">
      <c r="A4" s="2" t="s">
        <v>33</v>
      </c>
      <c r="B4" s="4">
        <v>400</v>
      </c>
      <c r="C4" s="4">
        <v>0</v>
      </c>
      <c r="D4" s="2" t="s">
        <v>107</v>
      </c>
    </row>
    <row r="5" spans="1:4">
      <c r="A5" s="2" t="s">
        <v>39</v>
      </c>
      <c r="B5" s="4">
        <v>0</v>
      </c>
      <c r="C5" s="4">
        <v>50</v>
      </c>
      <c r="D5" s="2" t="s">
        <v>108</v>
      </c>
    </row>
    <row r="6" spans="1:4">
      <c r="A6" s="2" t="s">
        <v>109</v>
      </c>
      <c r="B6" s="4">
        <v>0</v>
      </c>
      <c r="C6" s="4">
        <v>0</v>
      </c>
      <c r="D6" s="2" t="s">
        <v>110</v>
      </c>
    </row>
    <row r="7" spans="1:4">
      <c r="A7" s="2" t="s">
        <v>111</v>
      </c>
      <c r="B7" s="4">
        <v>0</v>
      </c>
      <c r="C7" s="4">
        <v>500</v>
      </c>
      <c r="D7" s="2" t="s">
        <v>112</v>
      </c>
    </row>
    <row r="8" spans="1:4">
      <c r="A8" s="2" t="s">
        <v>113</v>
      </c>
      <c r="B8" s="4">
        <v>0</v>
      </c>
      <c r="C8" s="4">
        <v>0</v>
      </c>
      <c r="D8" s="2" t="s">
        <v>114</v>
      </c>
    </row>
    <row r="9" spans="1:4">
      <c r="A9" s="2" t="s">
        <v>115</v>
      </c>
      <c r="B9" s="4">
        <v>10000</v>
      </c>
      <c r="C9" s="4">
        <v>5000</v>
      </c>
      <c r="D9" s="2" t="s">
        <v>116</v>
      </c>
    </row>
    <row r="10" spans="1:4">
      <c r="A10" s="2" t="s">
        <v>117</v>
      </c>
      <c r="B10" s="4">
        <v>0</v>
      </c>
      <c r="C10" s="4">
        <v>485</v>
      </c>
      <c r="D10" s="2" t="s">
        <v>118</v>
      </c>
    </row>
    <row r="11" spans="1:4">
      <c r="A11" s="8" t="s">
        <v>119</v>
      </c>
      <c r="B11" s="8">
        <v>2240</v>
      </c>
      <c r="C11" s="8">
        <v>102</v>
      </c>
      <c r="D11" s="8" t="s">
        <v>120</v>
      </c>
    </row>
  </sheetData>
  <autoFilter ref="A1:D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6.7109375" customWidth="1"/>
    <col min="4" max="4" width="12.7109375" customWidth="1"/>
    <col min="5" max="5" width="14.7109375" customWidth="1"/>
    <col min="6" max="6" width="40.7109375" customWidth="1"/>
  </cols>
  <sheetData>
    <row r="1" spans="1:6">
      <c r="A1" s="1" t="s">
        <v>121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89</v>
      </c>
    </row>
    <row r="2" spans="1:6">
      <c r="A2" s="2" t="s">
        <v>126</v>
      </c>
      <c r="B2" s="4">
        <v>0</v>
      </c>
      <c r="C2" s="4">
        <v>10.5</v>
      </c>
      <c r="D2" s="4">
        <v>-10.5</v>
      </c>
      <c r="E2" s="4">
        <v>-10.5</v>
      </c>
      <c r="F2" s="2" t="s">
        <v>127</v>
      </c>
    </row>
    <row r="3" spans="1:6">
      <c r="A3" s="2" t="s">
        <v>128</v>
      </c>
      <c r="B3" s="4">
        <v>0</v>
      </c>
      <c r="C3" s="4">
        <v>10.5</v>
      </c>
      <c r="D3" s="4">
        <v>-10.5</v>
      </c>
      <c r="E3" s="4">
        <v>-21</v>
      </c>
      <c r="F3" s="2" t="s">
        <v>127</v>
      </c>
    </row>
    <row r="4" spans="1:6">
      <c r="A4" s="2" t="s">
        <v>129</v>
      </c>
      <c r="B4" s="4">
        <v>0</v>
      </c>
      <c r="C4" s="4">
        <v>10.56</v>
      </c>
      <c r="D4" s="4">
        <v>-10.56</v>
      </c>
      <c r="E4" s="4">
        <v>-31.56</v>
      </c>
      <c r="F4" s="2" t="s">
        <v>127</v>
      </c>
    </row>
    <row r="5" spans="1:6">
      <c r="A5" s="2" t="s">
        <v>130</v>
      </c>
      <c r="B5" s="4">
        <v>5000</v>
      </c>
      <c r="C5" s="4">
        <v>10.5</v>
      </c>
      <c r="D5" s="4">
        <v>4989.5</v>
      </c>
      <c r="E5" s="4">
        <v>4957.94</v>
      </c>
      <c r="F5" s="2" t="s">
        <v>131</v>
      </c>
    </row>
    <row r="6" spans="1:6">
      <c r="A6" s="2" t="s">
        <v>132</v>
      </c>
      <c r="B6" s="4">
        <v>6500</v>
      </c>
      <c r="C6" s="4">
        <v>10.5</v>
      </c>
      <c r="D6" s="4">
        <v>6489.5</v>
      </c>
      <c r="E6" s="4">
        <v>11447.44</v>
      </c>
      <c r="F6" s="2" t="s">
        <v>131</v>
      </c>
    </row>
    <row r="7" spans="1:6">
      <c r="A7" s="2" t="s">
        <v>133</v>
      </c>
      <c r="B7" s="4">
        <v>8000</v>
      </c>
      <c r="C7" s="4">
        <v>10.5</v>
      </c>
      <c r="D7" s="4">
        <v>7989.5</v>
      </c>
      <c r="E7" s="4">
        <v>19436.94</v>
      </c>
      <c r="F7" s="2" t="s">
        <v>131</v>
      </c>
    </row>
    <row r="8" spans="1:6">
      <c r="A8" s="2" t="s">
        <v>134</v>
      </c>
      <c r="B8" s="4">
        <v>9500</v>
      </c>
      <c r="C8" s="4">
        <v>10.5</v>
      </c>
      <c r="D8" s="4">
        <v>9489.5</v>
      </c>
      <c r="E8" s="4">
        <v>28926.44</v>
      </c>
      <c r="F8" s="2" t="s">
        <v>131</v>
      </c>
    </row>
    <row r="9" spans="1:6">
      <c r="A9" s="2" t="s">
        <v>135</v>
      </c>
      <c r="B9" s="4">
        <v>11000</v>
      </c>
      <c r="C9" s="4">
        <v>10.5</v>
      </c>
      <c r="D9" s="4">
        <v>10989.5</v>
      </c>
      <c r="E9" s="4">
        <v>39915.94</v>
      </c>
      <c r="F9" s="2" t="s">
        <v>131</v>
      </c>
    </row>
    <row r="10" spans="1:6">
      <c r="A10" s="2" t="s">
        <v>136</v>
      </c>
      <c r="B10" s="4">
        <v>12500</v>
      </c>
      <c r="C10" s="4">
        <v>10.5</v>
      </c>
      <c r="D10" s="4">
        <v>12489.5</v>
      </c>
      <c r="E10" s="4">
        <v>52405.44</v>
      </c>
      <c r="F10" s="2" t="s">
        <v>131</v>
      </c>
    </row>
    <row r="11" spans="1:6">
      <c r="A11" s="2" t="s">
        <v>137</v>
      </c>
      <c r="B11" s="4">
        <v>14000</v>
      </c>
      <c r="C11" s="4">
        <v>10.5</v>
      </c>
      <c r="D11" s="4">
        <v>13989.5</v>
      </c>
      <c r="E11" s="4">
        <v>66394.94</v>
      </c>
      <c r="F11" s="2" t="s">
        <v>131</v>
      </c>
    </row>
    <row r="12" spans="1:6">
      <c r="A12" s="2" t="s">
        <v>138</v>
      </c>
      <c r="B12" s="4">
        <v>15500</v>
      </c>
      <c r="C12" s="4">
        <v>10.5</v>
      </c>
      <c r="D12" s="4">
        <v>15489.5</v>
      </c>
      <c r="E12" s="4">
        <v>81884.44</v>
      </c>
      <c r="F12" s="2" t="s">
        <v>131</v>
      </c>
    </row>
    <row r="13" spans="1:6">
      <c r="A13" s="2" t="s">
        <v>139</v>
      </c>
      <c r="B13" s="4">
        <v>17000</v>
      </c>
      <c r="C13" s="4">
        <v>10.5</v>
      </c>
      <c r="D13" s="4">
        <v>16989.5</v>
      </c>
      <c r="E13" s="4">
        <v>98873.94</v>
      </c>
      <c r="F13" s="2" t="s">
        <v>131</v>
      </c>
    </row>
    <row r="14" spans="1:6">
      <c r="A14" s="8" t="s">
        <v>102</v>
      </c>
      <c r="B14" s="4">
        <f>SUM(C2:C13)</f>
        <v>0</v>
      </c>
      <c r="C14" s="4">
        <f>SUM(D2:D13)</f>
        <v>0</v>
      </c>
      <c r="D14" s="4">
        <f>SUM(E2:E13)</f>
        <v>0</v>
      </c>
      <c r="E14" s="4">
        <f>SUM(E2:E13)</f>
        <v>0</v>
      </c>
    </row>
  </sheetData>
  <autoFilter ref="A1:F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2.7109375" customWidth="1"/>
    <col min="3" max="3" width="12.7109375" customWidth="1"/>
    <col min="4" max="4" width="36.7109375" customWidth="1"/>
    <col min="5" max="8" width="12.7109375" customWidth="1"/>
    <col min="9" max="9" width="10.7109375" customWidth="1"/>
    <col min="10" max="10" width="12.7109375" customWidth="1"/>
  </cols>
  <sheetData>
    <row r="1" spans="1:10">
      <c r="A1" s="1" t="s">
        <v>140</v>
      </c>
      <c r="B1" s="1" t="s">
        <v>141</v>
      </c>
      <c r="C1" s="1" t="s">
        <v>142</v>
      </c>
      <c r="D1" s="1" t="s">
        <v>143</v>
      </c>
      <c r="E1" s="1" t="s">
        <v>144</v>
      </c>
      <c r="F1" s="1" t="s">
        <v>145</v>
      </c>
      <c r="G1" s="1" t="s">
        <v>146</v>
      </c>
      <c r="H1" s="1" t="s">
        <v>3</v>
      </c>
      <c r="I1" s="1" t="s">
        <v>147</v>
      </c>
      <c r="J1" s="1" t="s">
        <v>148</v>
      </c>
    </row>
    <row r="2" spans="1:10">
      <c r="A2" t="s">
        <v>149</v>
      </c>
      <c r="E2">
        <v>0</v>
      </c>
      <c r="F2">
        <v>0</v>
      </c>
      <c r="G2">
        <v>0</v>
      </c>
      <c r="H2" t="s">
        <v>150</v>
      </c>
    </row>
    <row r="3" spans="1:10">
      <c r="A3" t="s">
        <v>151</v>
      </c>
      <c r="E3">
        <v>0</v>
      </c>
      <c r="F3">
        <v>0</v>
      </c>
      <c r="G3">
        <v>0</v>
      </c>
      <c r="H3" t="s">
        <v>150</v>
      </c>
    </row>
    <row r="4" spans="1:10">
      <c r="A4" t="s">
        <v>152</v>
      </c>
      <c r="E4">
        <v>0</v>
      </c>
      <c r="F4">
        <v>0</v>
      </c>
      <c r="G4">
        <v>0</v>
      </c>
      <c r="H4" t="s">
        <v>150</v>
      </c>
    </row>
    <row r="5" spans="1:10">
      <c r="A5" t="s">
        <v>153</v>
      </c>
      <c r="E5">
        <v>0</v>
      </c>
      <c r="F5">
        <v>0</v>
      </c>
      <c r="G5">
        <v>0</v>
      </c>
      <c r="H5" t="s">
        <v>150</v>
      </c>
    </row>
    <row r="6" spans="1:10">
      <c r="A6" t="s">
        <v>154</v>
      </c>
      <c r="E6">
        <v>0</v>
      </c>
      <c r="F6">
        <v>0</v>
      </c>
      <c r="G6">
        <v>0</v>
      </c>
      <c r="H6" t="s">
        <v>150</v>
      </c>
    </row>
    <row r="7" spans="1:10">
      <c r="A7" t="s">
        <v>155</v>
      </c>
      <c r="E7">
        <v>0</v>
      </c>
      <c r="F7">
        <v>0</v>
      </c>
      <c r="G7">
        <v>0</v>
      </c>
      <c r="H7" t="s">
        <v>150</v>
      </c>
    </row>
    <row r="8" spans="1:10">
      <c r="A8" t="s">
        <v>156</v>
      </c>
      <c r="E8">
        <v>0</v>
      </c>
      <c r="F8">
        <v>0</v>
      </c>
      <c r="G8">
        <v>0</v>
      </c>
      <c r="H8" t="s">
        <v>150</v>
      </c>
    </row>
    <row r="9" spans="1:10">
      <c r="A9" t="s">
        <v>157</v>
      </c>
      <c r="E9">
        <v>0</v>
      </c>
      <c r="F9">
        <v>0</v>
      </c>
      <c r="G9">
        <v>0</v>
      </c>
      <c r="H9" t="s">
        <v>150</v>
      </c>
    </row>
    <row r="10" spans="1:10">
      <c r="A10" t="s">
        <v>158</v>
      </c>
      <c r="E10">
        <v>0</v>
      </c>
      <c r="F10">
        <v>0</v>
      </c>
      <c r="G10">
        <v>0</v>
      </c>
      <c r="H10" t="s">
        <v>150</v>
      </c>
    </row>
    <row r="11" spans="1:10">
      <c r="A11" t="s">
        <v>159</v>
      </c>
      <c r="E11">
        <v>0</v>
      </c>
      <c r="F11">
        <v>0</v>
      </c>
      <c r="G11">
        <v>0</v>
      </c>
      <c r="H11" t="s">
        <v>150</v>
      </c>
    </row>
  </sheetData>
  <autoFilter ref="A1:J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4" width="12.7109375" customWidth="1"/>
    <col min="5" max="5" width="36.7109375" customWidth="1"/>
    <col min="6" max="10" width="12.7109375" customWidth="1"/>
    <col min="11" max="11" width="14.7109375" customWidth="1"/>
  </cols>
  <sheetData>
    <row r="1" spans="1:11">
      <c r="A1" s="1" t="s">
        <v>160</v>
      </c>
      <c r="B1" s="1" t="s">
        <v>141</v>
      </c>
      <c r="C1" s="1" t="s">
        <v>142</v>
      </c>
      <c r="D1" s="1" t="s">
        <v>6</v>
      </c>
      <c r="E1" s="1" t="s">
        <v>143</v>
      </c>
      <c r="F1" s="1" t="s">
        <v>124</v>
      </c>
      <c r="G1" s="1" t="s">
        <v>145</v>
      </c>
      <c r="H1" s="1" t="s">
        <v>146</v>
      </c>
      <c r="I1" s="1" t="s">
        <v>3</v>
      </c>
      <c r="J1" s="1" t="s">
        <v>161</v>
      </c>
      <c r="K1" s="1" t="s">
        <v>87</v>
      </c>
    </row>
    <row r="2" spans="1:11">
      <c r="A2" t="s">
        <v>162</v>
      </c>
      <c r="F2">
        <v>0</v>
      </c>
      <c r="G2">
        <v>0</v>
      </c>
      <c r="H2">
        <v>0</v>
      </c>
      <c r="I2" t="s">
        <v>163</v>
      </c>
    </row>
    <row r="3" spans="1:11">
      <c r="A3" t="s">
        <v>164</v>
      </c>
      <c r="F3">
        <v>0</v>
      </c>
      <c r="G3">
        <v>0</v>
      </c>
      <c r="H3">
        <v>0</v>
      </c>
      <c r="I3" t="s">
        <v>163</v>
      </c>
    </row>
    <row r="4" spans="1:11">
      <c r="A4" t="s">
        <v>165</v>
      </c>
      <c r="F4">
        <v>0</v>
      </c>
      <c r="G4">
        <v>0</v>
      </c>
      <c r="H4">
        <v>0</v>
      </c>
      <c r="I4" t="s">
        <v>163</v>
      </c>
    </row>
    <row r="5" spans="1:11">
      <c r="A5" t="s">
        <v>166</v>
      </c>
      <c r="F5">
        <v>0</v>
      </c>
      <c r="G5">
        <v>0</v>
      </c>
      <c r="H5">
        <v>0</v>
      </c>
      <c r="I5" t="s">
        <v>163</v>
      </c>
    </row>
    <row r="6" spans="1:11">
      <c r="A6" t="s">
        <v>167</v>
      </c>
      <c r="F6">
        <v>0</v>
      </c>
      <c r="G6">
        <v>0</v>
      </c>
      <c r="H6">
        <v>0</v>
      </c>
      <c r="I6" t="s">
        <v>163</v>
      </c>
    </row>
    <row r="7" spans="1:11">
      <c r="A7" t="s">
        <v>168</v>
      </c>
      <c r="F7">
        <v>0</v>
      </c>
      <c r="G7">
        <v>0</v>
      </c>
      <c r="H7">
        <v>0</v>
      </c>
      <c r="I7" t="s">
        <v>163</v>
      </c>
    </row>
    <row r="8" spans="1:11">
      <c r="A8" t="s">
        <v>169</v>
      </c>
      <c r="F8">
        <v>0</v>
      </c>
      <c r="G8">
        <v>0</v>
      </c>
      <c r="H8">
        <v>0</v>
      </c>
      <c r="I8" t="s">
        <v>163</v>
      </c>
    </row>
    <row r="9" spans="1:11">
      <c r="A9" t="s">
        <v>170</v>
      </c>
      <c r="F9">
        <v>0</v>
      </c>
      <c r="G9">
        <v>0</v>
      </c>
      <c r="H9">
        <v>0</v>
      </c>
      <c r="I9" t="s">
        <v>163</v>
      </c>
    </row>
    <row r="10" spans="1:11">
      <c r="A10" t="s">
        <v>171</v>
      </c>
      <c r="F10">
        <v>0</v>
      </c>
      <c r="G10">
        <v>0</v>
      </c>
      <c r="H10">
        <v>0</v>
      </c>
      <c r="I10" t="s">
        <v>163</v>
      </c>
    </row>
    <row r="11" spans="1:11">
      <c r="A11" t="s">
        <v>172</v>
      </c>
      <c r="F11">
        <v>0</v>
      </c>
      <c r="G11">
        <v>0</v>
      </c>
      <c r="H11">
        <v>0</v>
      </c>
      <c r="I11" t="s">
        <v>163</v>
      </c>
    </row>
    <row r="12" spans="1:11">
      <c r="A12" t="s">
        <v>173</v>
      </c>
      <c r="F12">
        <v>0</v>
      </c>
      <c r="G12">
        <v>0</v>
      </c>
      <c r="H12">
        <v>0</v>
      </c>
      <c r="I12" t="s">
        <v>163</v>
      </c>
    </row>
    <row r="13" spans="1:11">
      <c r="A13" t="s">
        <v>174</v>
      </c>
      <c r="F13">
        <v>0</v>
      </c>
      <c r="G13">
        <v>0</v>
      </c>
      <c r="H13">
        <v>0</v>
      </c>
      <c r="I13" t="s">
        <v>163</v>
      </c>
    </row>
  </sheetData>
  <autoFilter ref="A1:K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3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4.7109375" customWidth="1"/>
    <col min="4" max="5" width="22.7109375" customWidth="1"/>
    <col min="6" max="6" width="14.7109375" customWidth="1"/>
    <col min="7" max="7" width="12.7109375" customWidth="1"/>
    <col min="8" max="8" width="15.7109375" customWidth="1"/>
    <col min="9" max="9" width="20.7109375" customWidth="1"/>
    <col min="10" max="10" width="34.7109375" customWidth="1"/>
  </cols>
  <sheetData>
    <row r="1" spans="1:10">
      <c r="A1" s="1" t="s">
        <v>175</v>
      </c>
      <c r="B1" s="1" t="s">
        <v>142</v>
      </c>
      <c r="C1" s="1" t="s">
        <v>82</v>
      </c>
      <c r="D1" s="1" t="s">
        <v>176</v>
      </c>
      <c r="E1" s="1" t="s">
        <v>177</v>
      </c>
      <c r="F1" s="1" t="s">
        <v>178</v>
      </c>
      <c r="G1" s="1" t="s">
        <v>144</v>
      </c>
      <c r="H1" s="1" t="s">
        <v>179</v>
      </c>
      <c r="I1" s="1" t="s">
        <v>2</v>
      </c>
      <c r="J1" s="1" t="s">
        <v>180</v>
      </c>
    </row>
    <row r="2" spans="1:10">
      <c r="A2" t="s">
        <v>181</v>
      </c>
      <c r="G2">
        <v>0</v>
      </c>
      <c r="H2">
        <v>0</v>
      </c>
    </row>
    <row r="3" spans="1:10">
      <c r="A3" t="s">
        <v>182</v>
      </c>
      <c r="G3">
        <v>0</v>
      </c>
      <c r="H3">
        <v>0</v>
      </c>
    </row>
    <row r="4" spans="1:10">
      <c r="A4" t="s">
        <v>183</v>
      </c>
      <c r="G4">
        <v>0</v>
      </c>
      <c r="H4">
        <v>0</v>
      </c>
    </row>
    <row r="5" spans="1:10">
      <c r="A5" t="s">
        <v>184</v>
      </c>
      <c r="G5">
        <v>0</v>
      </c>
      <c r="H5">
        <v>0</v>
      </c>
    </row>
    <row r="6" spans="1:10">
      <c r="A6" t="s">
        <v>185</v>
      </c>
      <c r="G6">
        <v>0</v>
      </c>
      <c r="H6">
        <v>0</v>
      </c>
    </row>
    <row r="7" spans="1:10">
      <c r="A7" t="s">
        <v>186</v>
      </c>
      <c r="G7">
        <v>0</v>
      </c>
      <c r="H7">
        <v>0</v>
      </c>
    </row>
    <row r="8" spans="1:10">
      <c r="A8" t="s">
        <v>187</v>
      </c>
      <c r="G8">
        <v>0</v>
      </c>
      <c r="H8">
        <v>0</v>
      </c>
    </row>
    <row r="9" spans="1:10">
      <c r="A9" t="s">
        <v>188</v>
      </c>
      <c r="G9">
        <v>0</v>
      </c>
      <c r="H9">
        <v>0</v>
      </c>
    </row>
    <row r="10" spans="1:10">
      <c r="A10" t="s">
        <v>189</v>
      </c>
      <c r="G10">
        <v>0</v>
      </c>
      <c r="H10">
        <v>0</v>
      </c>
    </row>
    <row r="11" spans="1:10">
      <c r="A11" t="s">
        <v>190</v>
      </c>
      <c r="G11">
        <v>0</v>
      </c>
      <c r="H11">
        <v>0</v>
      </c>
    </row>
    <row r="12" spans="1:10">
      <c r="A12" t="s">
        <v>191</v>
      </c>
      <c r="G12">
        <v>0</v>
      </c>
      <c r="H12">
        <v>0</v>
      </c>
    </row>
    <row r="13" spans="1:10">
      <c r="A13" t="s">
        <v>192</v>
      </c>
      <c r="G13">
        <v>0</v>
      </c>
      <c r="H13">
        <v>0</v>
      </c>
    </row>
  </sheetData>
  <autoFilter ref="A1:J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4.7109375" customWidth="1"/>
    <col min="3" max="4" width="12.7109375" customWidth="1"/>
    <col min="5" max="6" width="16.7109375" customWidth="1"/>
    <col min="7" max="7" width="14.7109375" customWidth="1"/>
    <col min="8" max="8" width="12.7109375" customWidth="1"/>
    <col min="9" max="9" width="20.7109375" customWidth="1"/>
    <col min="10" max="10" width="14.7109375" customWidth="1"/>
  </cols>
  <sheetData>
    <row r="1" spans="1:10">
      <c r="A1" s="1" t="s">
        <v>193</v>
      </c>
      <c r="B1" s="1" t="s">
        <v>194</v>
      </c>
      <c r="C1" s="1" t="s">
        <v>6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161</v>
      </c>
      <c r="I1" s="1" t="s">
        <v>199</v>
      </c>
      <c r="J1" s="1" t="s">
        <v>3</v>
      </c>
    </row>
    <row r="2" spans="1:10">
      <c r="A2" t="s">
        <v>200</v>
      </c>
      <c r="E2">
        <v>0</v>
      </c>
      <c r="F2">
        <v>0</v>
      </c>
      <c r="G2">
        <v>0</v>
      </c>
      <c r="J2" t="s">
        <v>201</v>
      </c>
    </row>
    <row r="3" spans="1:10">
      <c r="A3" t="s">
        <v>202</v>
      </c>
      <c r="E3">
        <v>0</v>
      </c>
      <c r="F3">
        <v>0</v>
      </c>
      <c r="G3">
        <v>0</v>
      </c>
      <c r="J3" t="s">
        <v>201</v>
      </c>
    </row>
    <row r="4" spans="1:10">
      <c r="A4" t="s">
        <v>203</v>
      </c>
      <c r="E4">
        <v>0</v>
      </c>
      <c r="F4">
        <v>0</v>
      </c>
      <c r="G4">
        <v>0</v>
      </c>
      <c r="J4" t="s">
        <v>201</v>
      </c>
    </row>
    <row r="5" spans="1:10">
      <c r="A5" t="s">
        <v>204</v>
      </c>
      <c r="E5">
        <v>0</v>
      </c>
      <c r="F5">
        <v>0</v>
      </c>
      <c r="G5">
        <v>0</v>
      </c>
      <c r="J5" t="s">
        <v>201</v>
      </c>
    </row>
    <row r="6" spans="1:10">
      <c r="A6" t="s">
        <v>205</v>
      </c>
      <c r="E6">
        <v>0</v>
      </c>
      <c r="F6">
        <v>0</v>
      </c>
      <c r="G6">
        <v>0</v>
      </c>
      <c r="J6" t="s">
        <v>201</v>
      </c>
    </row>
  </sheetData>
  <autoFilter ref="A1:J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4.7109375" customWidth="1"/>
    <col min="3" max="3" width="20.7109375" customWidth="1"/>
    <col min="4" max="5" width="16.7109375" customWidth="1"/>
    <col min="6" max="6" width="14.7109375" customWidth="1"/>
    <col min="7" max="7" width="40.7109375" customWidth="1"/>
  </cols>
  <sheetData>
    <row r="1" spans="1:7">
      <c r="A1" s="1" t="s">
        <v>206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  <c r="G1" s="1" t="s">
        <v>89</v>
      </c>
    </row>
    <row r="2" spans="1:7">
      <c r="A2" t="s">
        <v>212</v>
      </c>
      <c r="B2" t="s">
        <v>213</v>
      </c>
      <c r="C2" t="s">
        <v>214</v>
      </c>
      <c r="E2" t="s">
        <v>215</v>
      </c>
    </row>
    <row r="3" spans="1:7">
      <c r="A3" t="s">
        <v>216</v>
      </c>
      <c r="B3" t="s">
        <v>217</v>
      </c>
      <c r="C3" t="s">
        <v>218</v>
      </c>
      <c r="E3" t="s">
        <v>215</v>
      </c>
    </row>
    <row r="4" spans="1:7">
      <c r="A4" t="s">
        <v>219</v>
      </c>
      <c r="B4" t="s">
        <v>220</v>
      </c>
      <c r="C4" t="s">
        <v>221</v>
      </c>
      <c r="E4" t="s">
        <v>50</v>
      </c>
    </row>
    <row r="5" spans="1:7">
      <c r="A5" t="s">
        <v>222</v>
      </c>
      <c r="C5" t="s">
        <v>223</v>
      </c>
      <c r="E5" t="s">
        <v>50</v>
      </c>
      <c r="G5" t="s">
        <v>224</v>
      </c>
    </row>
    <row r="6" spans="1:7">
      <c r="A6" t="s">
        <v>36</v>
      </c>
      <c r="C6" t="s">
        <v>225</v>
      </c>
      <c r="E6" t="s">
        <v>50</v>
      </c>
      <c r="G6" t="s">
        <v>226</v>
      </c>
    </row>
    <row r="7" spans="1:7">
      <c r="A7" t="s">
        <v>227</v>
      </c>
      <c r="B7" t="s">
        <v>228</v>
      </c>
      <c r="C7" t="s">
        <v>229</v>
      </c>
      <c r="E7" t="s">
        <v>215</v>
      </c>
      <c r="G7" t="s">
        <v>230</v>
      </c>
    </row>
    <row r="8" spans="1:7">
      <c r="A8" t="s">
        <v>231</v>
      </c>
      <c r="B8" t="s">
        <v>232</v>
      </c>
      <c r="C8" t="s">
        <v>233</v>
      </c>
      <c r="E8" t="s">
        <v>215</v>
      </c>
      <c r="G8" t="s">
        <v>230</v>
      </c>
    </row>
    <row r="9" spans="1:7">
      <c r="A9" t="s">
        <v>234</v>
      </c>
      <c r="C9" t="s">
        <v>71</v>
      </c>
      <c r="E9" t="s">
        <v>50</v>
      </c>
      <c r="G9" t="s">
        <v>235</v>
      </c>
    </row>
    <row r="10" spans="1:7">
      <c r="A10" t="s">
        <v>236</v>
      </c>
      <c r="C10" t="s">
        <v>237</v>
      </c>
      <c r="E10" t="s">
        <v>50</v>
      </c>
      <c r="G10" t="s">
        <v>238</v>
      </c>
    </row>
  </sheetData>
  <autoFilter ref="A1:G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8.7109375" customWidth="1"/>
    <col min="3" max="3" width="12.7109375" customWidth="1"/>
    <col min="4" max="4" width="22.7109375" customWidth="1"/>
    <col min="5" max="5" width="30.7109375" customWidth="1"/>
    <col min="6" max="6" width="28.7109375" customWidth="1"/>
    <col min="7" max="7" width="34.7109375" customWidth="1"/>
  </cols>
  <sheetData>
    <row r="1" spans="1:7">
      <c r="A1" s="1" t="s">
        <v>141</v>
      </c>
      <c r="B1" s="1" t="s">
        <v>207</v>
      </c>
      <c r="C1" s="1" t="s">
        <v>82</v>
      </c>
      <c r="D1" s="1" t="s">
        <v>3</v>
      </c>
      <c r="E1" s="1" t="s">
        <v>9</v>
      </c>
      <c r="F1" s="1" t="s">
        <v>239</v>
      </c>
      <c r="G1" s="1" t="s">
        <v>89</v>
      </c>
    </row>
    <row r="2" spans="1:7">
      <c r="A2" t="s">
        <v>240</v>
      </c>
      <c r="B2" t="s">
        <v>241</v>
      </c>
      <c r="C2" t="s">
        <v>29</v>
      </c>
      <c r="D2" t="s">
        <v>242</v>
      </c>
      <c r="E2" t="s">
        <v>243</v>
      </c>
      <c r="F2" t="s">
        <v>244</v>
      </c>
    </row>
    <row r="3" spans="1:7">
      <c r="A3" t="s">
        <v>245</v>
      </c>
      <c r="B3" t="s">
        <v>246</v>
      </c>
      <c r="C3" t="s">
        <v>247</v>
      </c>
      <c r="D3" t="s">
        <v>248</v>
      </c>
      <c r="E3" t="s">
        <v>249</v>
      </c>
      <c r="F3" t="s">
        <v>250</v>
      </c>
    </row>
    <row r="4" spans="1:7">
      <c r="A4" t="s">
        <v>251</v>
      </c>
      <c r="B4" t="s">
        <v>252</v>
      </c>
      <c r="C4" t="s">
        <v>247</v>
      </c>
      <c r="D4" t="s">
        <v>248</v>
      </c>
      <c r="E4" t="s">
        <v>249</v>
      </c>
      <c r="F4" t="s">
        <v>253</v>
      </c>
    </row>
    <row r="5" spans="1:7">
      <c r="A5" t="s">
        <v>254</v>
      </c>
      <c r="B5" t="s">
        <v>255</v>
      </c>
      <c r="C5" t="s">
        <v>247</v>
      </c>
      <c r="D5" t="s">
        <v>248</v>
      </c>
      <c r="E5" t="s">
        <v>249</v>
      </c>
      <c r="F5" t="s">
        <v>256</v>
      </c>
    </row>
    <row r="6" spans="1:7">
      <c r="A6" t="s">
        <v>257</v>
      </c>
      <c r="B6" t="s">
        <v>258</v>
      </c>
      <c r="C6" t="s">
        <v>247</v>
      </c>
      <c r="D6" t="s">
        <v>248</v>
      </c>
      <c r="E6" t="s">
        <v>249</v>
      </c>
      <c r="F6" t="s">
        <v>259</v>
      </c>
    </row>
    <row r="7" spans="1:7">
      <c r="A7" t="s">
        <v>260</v>
      </c>
      <c r="B7" t="s">
        <v>261</v>
      </c>
      <c r="C7" t="s">
        <v>262</v>
      </c>
      <c r="D7" t="s">
        <v>263</v>
      </c>
      <c r="G7" t="s">
        <v>264</v>
      </c>
    </row>
  </sheetData>
  <autoFilter ref="A1:G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6.7109375" customWidth="1"/>
    <col min="4" max="5" width="12.7109375" customWidth="1"/>
    <col min="6" max="6" width="20.7109375" customWidth="1"/>
    <col min="7" max="7" width="12.7109375" customWidth="1"/>
    <col min="8" max="8" width="10.7109375" customWidth="1"/>
  </cols>
  <sheetData>
    <row r="1" spans="1:8">
      <c r="A1" s="1" t="s">
        <v>142</v>
      </c>
      <c r="B1" s="1" t="s">
        <v>265</v>
      </c>
      <c r="C1" s="1" t="s">
        <v>143</v>
      </c>
      <c r="D1" s="1" t="s">
        <v>144</v>
      </c>
      <c r="E1" s="1" t="s">
        <v>145</v>
      </c>
      <c r="F1" s="1" t="s">
        <v>266</v>
      </c>
      <c r="G1" s="1" t="s">
        <v>267</v>
      </c>
      <c r="H1" s="1" t="s">
        <v>268</v>
      </c>
    </row>
    <row r="2" spans="1:8">
      <c r="D2">
        <v>0</v>
      </c>
      <c r="E2">
        <v>0</v>
      </c>
    </row>
    <row r="3" spans="1:8">
      <c r="D3">
        <v>0</v>
      </c>
      <c r="E3">
        <v>0</v>
      </c>
    </row>
    <row r="4" spans="1:8">
      <c r="D4">
        <v>0</v>
      </c>
      <c r="E4">
        <v>0</v>
      </c>
    </row>
    <row r="5" spans="1:8">
      <c r="D5">
        <v>0</v>
      </c>
      <c r="E5">
        <v>0</v>
      </c>
    </row>
    <row r="6" spans="1:8">
      <c r="D6">
        <v>0</v>
      </c>
      <c r="E6">
        <v>0</v>
      </c>
    </row>
    <row r="7" spans="1:8">
      <c r="D7">
        <v>0</v>
      </c>
      <c r="E7">
        <v>0</v>
      </c>
    </row>
    <row r="8" spans="1:8">
      <c r="D8">
        <v>0</v>
      </c>
      <c r="E8">
        <v>0</v>
      </c>
    </row>
    <row r="9" spans="1:8">
      <c r="D9">
        <v>0</v>
      </c>
      <c r="E9">
        <v>0</v>
      </c>
    </row>
    <row r="10" spans="1:8">
      <c r="D10">
        <v>0</v>
      </c>
      <c r="E10">
        <v>0</v>
      </c>
    </row>
    <row r="11" spans="1:8">
      <c r="D11">
        <v>0</v>
      </c>
      <c r="E11">
        <v>0</v>
      </c>
    </row>
    <row r="12" spans="1:8">
      <c r="D12">
        <v>0</v>
      </c>
      <c r="E12">
        <v>0</v>
      </c>
    </row>
    <row r="13" spans="1:8">
      <c r="D13">
        <v>0</v>
      </c>
      <c r="E13">
        <v>0</v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6.7109375" customWidth="1"/>
    <col min="4" max="4" width="12.7109375" customWidth="1"/>
    <col min="5" max="5" width="14.7109375" customWidth="1"/>
    <col min="6" max="6" width="20.7109375" customWidth="1"/>
    <col min="7" max="7" width="14.7109375" customWidth="1"/>
    <col min="8" max="8" width="30.7109375" customWidth="1"/>
  </cols>
  <sheetData>
    <row r="1" spans="1:8">
      <c r="A1" s="1" t="s">
        <v>142</v>
      </c>
      <c r="B1" s="1" t="s">
        <v>269</v>
      </c>
      <c r="C1" s="1" t="s">
        <v>143</v>
      </c>
      <c r="D1" s="1" t="s">
        <v>144</v>
      </c>
      <c r="E1" s="1" t="s">
        <v>270</v>
      </c>
      <c r="F1" s="1" t="s">
        <v>2</v>
      </c>
      <c r="G1" s="1" t="s">
        <v>87</v>
      </c>
      <c r="H1" s="1" t="s">
        <v>271</v>
      </c>
    </row>
    <row r="2" spans="1:8">
      <c r="D2">
        <v>0</v>
      </c>
      <c r="E2">
        <v>0</v>
      </c>
    </row>
    <row r="3" spans="1:8">
      <c r="D3">
        <v>0</v>
      </c>
      <c r="E3">
        <v>0</v>
      </c>
    </row>
    <row r="4" spans="1:8">
      <c r="D4">
        <v>0</v>
      </c>
      <c r="E4">
        <v>0</v>
      </c>
    </row>
    <row r="5" spans="1:8">
      <c r="D5">
        <v>0</v>
      </c>
      <c r="E5">
        <v>0</v>
      </c>
    </row>
    <row r="6" spans="1:8">
      <c r="D6">
        <v>0</v>
      </c>
      <c r="E6">
        <v>0</v>
      </c>
    </row>
    <row r="7" spans="1:8">
      <c r="D7">
        <v>0</v>
      </c>
      <c r="E7">
        <v>0</v>
      </c>
    </row>
    <row r="8" spans="1:8">
      <c r="D8">
        <v>0</v>
      </c>
      <c r="E8">
        <v>0</v>
      </c>
    </row>
    <row r="9" spans="1:8">
      <c r="D9">
        <v>0</v>
      </c>
      <c r="E9">
        <v>0</v>
      </c>
    </row>
    <row r="10" spans="1:8">
      <c r="D10">
        <v>0</v>
      </c>
      <c r="E10">
        <v>0</v>
      </c>
    </row>
    <row r="11" spans="1:8">
      <c r="D11">
        <v>0</v>
      </c>
      <c r="E11">
        <v>0</v>
      </c>
    </row>
    <row r="12" spans="1:8">
      <c r="D12">
        <v>0</v>
      </c>
      <c r="E12">
        <v>0</v>
      </c>
    </row>
    <row r="13" spans="1:8">
      <c r="D13">
        <v>0</v>
      </c>
      <c r="E13">
        <v>0</v>
      </c>
    </row>
  </sheetData>
  <autoFilter ref="A1:H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7" width="12.7109375" customWidth="1"/>
    <col min="8" max="8" width="14.7109375" customWidth="1"/>
    <col min="9" max="9" width="10.7109375" customWidth="1"/>
    <col min="10" max="10" width="34.7109375" customWidth="1"/>
  </cols>
  <sheetData>
    <row r="1" spans="1:10">
      <c r="A1" s="9" t="s">
        <v>121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  <c r="H1" s="9" t="s">
        <v>278</v>
      </c>
      <c r="I1" s="9" t="s">
        <v>279</v>
      </c>
      <c r="J1" s="9" t="s">
        <v>89</v>
      </c>
    </row>
    <row r="2" spans="1:10">
      <c r="A2" s="2" t="s">
        <v>126</v>
      </c>
      <c r="B2" s="2" t="s">
        <v>280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2" t="s">
        <v>281</v>
      </c>
    </row>
    <row r="3" spans="1:10">
      <c r="A3" s="2" t="s">
        <v>126</v>
      </c>
      <c r="B3" s="2" t="s">
        <v>282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2" t="s">
        <v>281</v>
      </c>
    </row>
    <row r="4" spans="1:10">
      <c r="A4" s="2" t="s">
        <v>128</v>
      </c>
      <c r="B4" s="2" t="s">
        <v>280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2" t="s">
        <v>281</v>
      </c>
    </row>
    <row r="5" spans="1:10">
      <c r="A5" s="2" t="s">
        <v>128</v>
      </c>
      <c r="B5" s="2" t="s">
        <v>282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2" t="s">
        <v>281</v>
      </c>
    </row>
    <row r="6" spans="1:10">
      <c r="A6" s="2" t="s">
        <v>129</v>
      </c>
      <c r="B6" s="2" t="s">
        <v>280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" t="s">
        <v>281</v>
      </c>
    </row>
    <row r="7" spans="1:10">
      <c r="A7" s="2" t="s">
        <v>129</v>
      </c>
      <c r="B7" s="2" t="s">
        <v>282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2" t="s">
        <v>281</v>
      </c>
    </row>
    <row r="8" spans="1:10">
      <c r="A8" s="2" t="s">
        <v>130</v>
      </c>
      <c r="B8" s="2" t="s">
        <v>280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2" t="s">
        <v>281</v>
      </c>
    </row>
    <row r="9" spans="1:10">
      <c r="A9" s="2" t="s">
        <v>130</v>
      </c>
      <c r="B9" s="2" t="s">
        <v>282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2" t="s">
        <v>281</v>
      </c>
    </row>
    <row r="10" spans="1:10">
      <c r="A10" s="2" t="s">
        <v>132</v>
      </c>
      <c r="B10" s="2" t="s">
        <v>280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2" t="s">
        <v>281</v>
      </c>
    </row>
    <row r="11" spans="1:10">
      <c r="A11" s="2" t="s">
        <v>132</v>
      </c>
      <c r="B11" s="2" t="s">
        <v>282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2" t="s">
        <v>281</v>
      </c>
    </row>
    <row r="12" spans="1:10">
      <c r="A12" s="2" t="s">
        <v>133</v>
      </c>
      <c r="B12" s="2" t="s">
        <v>280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2" t="s">
        <v>281</v>
      </c>
    </row>
    <row r="13" spans="1:10">
      <c r="A13" s="2" t="s">
        <v>133</v>
      </c>
      <c r="B13" s="2" t="s">
        <v>282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2" t="s">
        <v>281</v>
      </c>
    </row>
    <row r="14" spans="1:10">
      <c r="A14" s="2" t="s">
        <v>134</v>
      </c>
      <c r="B14" s="2" t="s">
        <v>280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2" t="s">
        <v>281</v>
      </c>
    </row>
    <row r="15" spans="1:10">
      <c r="A15" s="2" t="s">
        <v>134</v>
      </c>
      <c r="B15" s="2" t="s">
        <v>282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2" t="s">
        <v>281</v>
      </c>
    </row>
    <row r="16" spans="1:10">
      <c r="A16" s="2" t="s">
        <v>135</v>
      </c>
      <c r="B16" s="2" t="s">
        <v>280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2" t="s">
        <v>281</v>
      </c>
    </row>
    <row r="17" spans="1:9">
      <c r="A17" s="2" t="s">
        <v>135</v>
      </c>
      <c r="B17" s="2" t="s">
        <v>282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2" t="s">
        <v>281</v>
      </c>
    </row>
    <row r="18" spans="1:9">
      <c r="A18" s="2" t="s">
        <v>136</v>
      </c>
      <c r="B18" s="2" t="s">
        <v>280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2" t="s">
        <v>281</v>
      </c>
    </row>
    <row r="19" spans="1:9">
      <c r="A19" s="2" t="s">
        <v>136</v>
      </c>
      <c r="B19" s="2" t="s">
        <v>282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2" t="s">
        <v>281</v>
      </c>
    </row>
    <row r="20" spans="1:9">
      <c r="A20" s="2" t="s">
        <v>137</v>
      </c>
      <c r="B20" s="2" t="s">
        <v>280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2" t="s">
        <v>281</v>
      </c>
    </row>
    <row r="21" spans="1:9">
      <c r="A21" s="2" t="s">
        <v>137</v>
      </c>
      <c r="B21" s="2" t="s">
        <v>282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2" t="s">
        <v>281</v>
      </c>
    </row>
    <row r="22" spans="1:9">
      <c r="A22" s="2" t="s">
        <v>138</v>
      </c>
      <c r="B22" s="2" t="s">
        <v>280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2" t="s">
        <v>281</v>
      </c>
    </row>
    <row r="23" spans="1:9">
      <c r="A23" s="2" t="s">
        <v>138</v>
      </c>
      <c r="B23" s="2" t="s">
        <v>282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2" t="s">
        <v>281</v>
      </c>
    </row>
    <row r="24" spans="1:9">
      <c r="A24" s="2" t="s">
        <v>139</v>
      </c>
      <c r="B24" s="2" t="s">
        <v>280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2" t="s">
        <v>281</v>
      </c>
    </row>
    <row r="25" spans="1:9">
      <c r="A25" s="2" t="s">
        <v>139</v>
      </c>
      <c r="B25" s="2" t="s">
        <v>282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2" t="s">
        <v>281</v>
      </c>
    </row>
    <row r="26" spans="1:9">
      <c r="A26" s="8" t="s">
        <v>283</v>
      </c>
      <c r="C26" s="4">
        <f>SUM(C2:C24)</f>
        <v>0</v>
      </c>
      <c r="D26" s="4">
        <f>SUM(D2:D24)</f>
        <v>0</v>
      </c>
      <c r="E26" s="4">
        <f>SUM(E2:E24)</f>
        <v>0</v>
      </c>
      <c r="F26" s="4">
        <f>SUM(F2:F24)</f>
        <v>0</v>
      </c>
      <c r="G26" s="4">
        <f>SUM(G2:G24)</f>
        <v>0</v>
      </c>
      <c r="H26" s="4">
        <f>SUM(H2:H24)</f>
        <v>0</v>
      </c>
    </row>
    <row r="27" spans="1:9">
      <c r="A27" s="10" t="s">
        <v>284</v>
      </c>
      <c r="B27" s="2" t="s">
        <v>285</v>
      </c>
    </row>
  </sheetData>
  <autoFilter ref="A1:J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Compliance Tracker</vt:lpstr>
      <vt:lpstr>Trademarks</vt:lpstr>
      <vt:lpstr>Costs</vt:lpstr>
      <vt:lpstr>Company Forecast</vt:lpstr>
      <vt:lpstr>Quotes</vt:lpstr>
      <vt:lpstr>Invoices</vt:lpstr>
      <vt:lpstr>Payments</vt:lpstr>
      <vt:lpstr>Tax</vt:lpstr>
      <vt:lpstr>Suppliers</vt:lpstr>
      <vt:lpstr>Customers</vt:lpstr>
      <vt:lpstr>Money In</vt:lpstr>
      <vt:lpstr>Money Out</vt:lpstr>
      <vt:lpstr>Payroll &amp; Pension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2026-08-29T19:56:55Z</dcterms:created>
  <dcterms:modified xsi:type="dcterms:W3CDTF">2026-08-29T19:56:55Z</dcterms:modified>
</cp:coreProperties>
</file>